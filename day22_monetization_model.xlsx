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Cost_Job" sheetId="2" state="visible" r:id="rId2"/>
    <sheet xmlns:r="http://schemas.openxmlformats.org/officeDocument/2006/relationships" name="2_Pricing" sheetId="3" state="visible" r:id="rId3"/>
    <sheet xmlns:r="http://schemas.openxmlformats.org/officeDocument/2006/relationships" name="3_Value_Metric" sheetId="4" state="visible" r:id="rId4"/>
    <sheet xmlns:r="http://schemas.openxmlformats.org/officeDocument/2006/relationships" name="4_Channel_Fit" sheetId="5" state="visible" r:id="rId5"/>
    <sheet xmlns:r="http://schemas.openxmlformats.org/officeDocument/2006/relationships" name="5_90Day_Plan" sheetId="6" state="visible" r:id="rId6"/>
    <sheet xmlns:r="http://schemas.openxmlformats.org/officeDocument/2006/relationships" name="6_Benchmark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497D"/>
      <sz val="14"/>
    </font>
    <font>
      <name val="Arial"/>
      <i val="1"/>
      <sz val="11"/>
    </font>
    <font>
      <name val="Arial"/>
      <sz val="10"/>
    </font>
    <font>
      <name val="Arial"/>
      <b val="1"/>
      <sz val="10"/>
    </font>
    <font>
      <name val="Arial"/>
      <b val="1"/>
      <color rgb="00FFFFFF"/>
      <sz val="11"/>
    </font>
  </fonts>
  <fills count="8">
    <fill>
      <patternFill/>
    </fill>
    <fill>
      <patternFill patternType="gray125"/>
    </fill>
    <fill>
      <patternFill patternType="solid">
        <fgColor rgb="00FFF2CC"/>
        <bgColor rgb="00FFF2CC"/>
      </patternFill>
    </fill>
    <fill>
      <patternFill patternType="solid">
        <fgColor rgb="00F2F2F2"/>
        <bgColor rgb="00F2F2F2"/>
      </patternFill>
    </fill>
    <fill>
      <patternFill patternType="solid">
        <fgColor rgb="00D9EAD3"/>
        <bgColor rgb="00D9EAD3"/>
      </patternFill>
    </fill>
    <fill>
      <patternFill patternType="solid">
        <fgColor rgb="001F497D"/>
        <bgColor rgb="001F497D"/>
      </patternFill>
    </fill>
    <fill>
      <patternFill patternType="solid">
        <fgColor rgb="00DCE6F1"/>
        <bgColor rgb="00DCE6F1"/>
      </patternFill>
    </fill>
    <fill>
      <patternFill patternType="solid">
        <fgColor rgb="00F4CCCC"/>
        <bgColor rgb="00F4CC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5" fillId="5" borderId="0" pivotButton="0" quotePrefix="0" xfId="0"/>
    <xf numFmtId="0" fontId="4" fillId="6" borderId="0" pivotButton="0" quotePrefix="0" xfId="0"/>
    <xf numFmtId="0" fontId="4" fillId="3" borderId="0" pivotButton="0" quotePrefix="0" xfId="0"/>
    <xf numFmtId="0" fontId="4" fillId="4" borderId="0" pivotButton="0" quotePrefix="0" xfId="0"/>
    <xf numFmtId="164" fontId="4" fillId="3" borderId="0" pivotButton="0" quotePrefix="0" xfId="0"/>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55" customWidth="1" min="1" max="1"/>
    <col width="55" customWidth="1" min="2" max="2"/>
  </cols>
  <sheetData>
    <row r="1">
      <c r="A1" s="1" t="inlineStr">
        <is>
          <t>DAY 22: AI PRODUCT GTM &amp; MONETIZATION MODEL</t>
        </is>
      </c>
    </row>
    <row r="2">
      <c r="A2" s="2" t="inlineStr">
        <is>
          <t>Dự án: VinStay AI - Nền tảng Điều phối Cho thuê Căn hộ Độc quyền tại Vinhomes Ocean Park</t>
        </is>
      </c>
    </row>
    <row r="3"/>
    <row r="4">
      <c r="A4" s="3" t="inlineStr">
        <is>
          <t>Quy ước</t>
        </is>
      </c>
      <c r="B4" s="3" t="inlineStr">
        <is>
          <t>Chi tiết hướng dẫn</t>
        </is>
      </c>
    </row>
    <row r="5">
      <c r="A5" s="3" t="inlineStr">
        <is>
          <t>Mục tiêu bài lab</t>
        </is>
      </c>
      <c r="B5" s="3" t="inlineStr">
        <is>
          <t>Định nghĩa 1 Job, tính Cost/Job đủ 5 thành phần, chốt Value Metric, kiểm tra Channel Fit và lập Monetization One-Pager.</t>
        </is>
      </c>
    </row>
    <row r="6">
      <c r="A6" s="3" t="inlineStr">
        <is>
          <t>Tỷ giá quy đổi</t>
        </is>
      </c>
      <c r="B6" s="3" t="inlineStr">
        <is>
          <t>26.000 VNĐ / USD (Giá API niêm yết bằng USD, giá dịch vụ bằng VNĐ)</t>
        </is>
      </c>
    </row>
    <row r="7">
      <c r="A7" s="3" t="inlineStr">
        <is>
          <t>Ngày chốt giá API</t>
        </is>
      </c>
      <c r="B7" s="3" t="inlineStr">
        <is>
          <t>08/10/2026 (Kiểm tra trực tiếp tại OpenAI, Anthropic, Google Docs)</t>
        </is>
      </c>
    </row>
    <row r="8">
      <c r="A8" s="4" t="inlineStr">
        <is>
          <t>Quy ước màu sắc ô:</t>
        </is>
      </c>
      <c r="B8" s="3" t="inlineStr"/>
    </row>
    <row r="9">
      <c r="A9" s="5" t="inlineStr">
        <is>
          <t xml:space="preserve"> - Ô MÀU VÀNG</t>
        </is>
      </c>
      <c r="B9" s="3" t="inlineStr">
        <is>
          <t>Ô nhập liệu giả định (Input cell)</t>
        </is>
      </c>
    </row>
    <row r="10">
      <c r="A10" s="6" t="inlineStr">
        <is>
          <t xml:space="preserve"> - Ô MÀU XÁM</t>
        </is>
      </c>
      <c r="B10" s="3" t="inlineStr">
        <is>
          <t>Công thức tự động tính toán (Formula cell - Không tự ý sửa)</t>
        </is>
      </c>
    </row>
    <row r="11">
      <c r="A11" s="7" t="inlineStr">
        <is>
          <t xml:space="preserve"> - Ô MÀU XANH LÁ</t>
        </is>
      </c>
      <c r="B11" s="3" t="inlineStr">
        <is>
          <t>Chỉ số đạt chuẩn kiểm định (Gross Margin &gt;= 60%, Inside Sales khả thi, v.v.)</t>
        </is>
      </c>
    </row>
    <row r="12">
      <c r="A12" s="4" t="inlineStr">
        <is>
          <t>Cấu trúc các Tab:</t>
        </is>
      </c>
      <c r="B12" s="3" t="inlineStr"/>
    </row>
    <row r="13">
      <c r="A13" s="3" t="inlineStr">
        <is>
          <t xml:space="preserve"> - 1_Cost_Job</t>
        </is>
      </c>
      <c r="B13" s="3" t="inlineStr">
        <is>
          <t>Tính chi phí thật để hoàn thành 1 Job (đủ 5 thành phần: LLM, Infra, Retry, HITL, Overhead)</t>
        </is>
      </c>
    </row>
    <row r="14">
      <c r="A14" s="3" t="inlineStr">
        <is>
          <t xml:space="preserve"> - 2_Pricing</t>
        </is>
      </c>
      <c r="B14" s="3" t="inlineStr">
        <is>
          <t>Xác định Giá sàn (&gt;= 3x Cost/Job), Giá trần, Gross Margin và Breakeven containment</t>
        </is>
      </c>
    </row>
    <row r="15">
      <c r="A15" s="3" t="inlineStr">
        <is>
          <t xml:space="preserve"> - 3_Value_Metric</t>
        </is>
      </c>
      <c r="B15" s="3" t="inlineStr">
        <is>
          <t>Chấm điểm ma trận Attribution x Autonomy, Benchmark 2 đối thủ và Decision Note</t>
        </is>
      </c>
    </row>
    <row r="16">
      <c r="A16" s="3" t="inlineStr">
        <is>
          <t xml:space="preserve"> - 4_Channel_Fit</t>
        </is>
      </c>
      <c r="B16" s="3" t="inlineStr">
        <is>
          <t>Tính ngân sách CAC, kiểm tra tính khả thi Inside Sales, chấm điểm 3 kênh GTM</t>
        </is>
      </c>
    </row>
    <row r="17">
      <c r="A17" s="3" t="inlineStr">
        <is>
          <t xml:space="preserve"> - 5_90Day_Plan</t>
        </is>
      </c>
      <c r="B17" s="3" t="inlineStr">
        <is>
          <t>Kế hoạch hành động 90 ngày và Checklist 3 tài sản Evidence Pack</t>
        </is>
      </c>
    </row>
    <row r="18">
      <c r="A18" s="3" t="inlineStr">
        <is>
          <t xml:space="preserve"> - 6_Benchmarks</t>
        </is>
      </c>
      <c r="B18" s="3" t="inlineStr">
        <is>
          <t>Bảng tham chiếu giá API và benchmark tài chính ngành AI Native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showGridLines="1" workbookViewId="0">
      <selection activeCell="A1" sqref="A1"/>
    </sheetView>
  </sheetViews>
  <sheetFormatPr baseColWidth="8" defaultRowHeight="15"/>
  <cols>
    <col width="46" customWidth="1" min="1" max="1"/>
    <col width="48" customWidth="1" min="2" max="2"/>
    <col width="55" customWidth="1" min="3" max="3"/>
    <col width="13" customWidth="1" min="4" max="4"/>
    <col width="55" customWidth="1" min="5" max="5"/>
  </cols>
  <sheetData>
    <row r="1">
      <c r="A1" s="1" t="inlineStr">
        <is>
          <t>BẢNG TÍNH CHI PHÍ COST / JOB (5 THÀNH PHẦN)</t>
        </is>
      </c>
    </row>
    <row r="2"/>
    <row r="3">
      <c r="A3" s="8" t="inlineStr">
        <is>
          <t>Mục</t>
        </is>
      </c>
      <c r="B3" s="8" t="inlineStr">
        <is>
          <t>Tham số / Thành phần</t>
        </is>
      </c>
      <c r="C3" s="8" t="inlineStr">
        <is>
          <t>Giá trị</t>
        </is>
      </c>
      <c r="D3" s="8" t="inlineStr">
        <is>
          <t>Đơn vị</t>
        </is>
      </c>
      <c r="E3" s="8" t="inlineStr">
        <is>
          <t>Ghi chú &amp; Nguồn dẫn</t>
        </is>
      </c>
    </row>
    <row r="4">
      <c r="A4" s="9" t="inlineStr">
        <is>
          <t>S1. ĐỊNH NGHĨA JOB</t>
        </is>
      </c>
    </row>
    <row r="5">
      <c r="B5" s="3" t="inlineStr">
        <is>
          <t>Tên sản phẩm</t>
        </is>
      </c>
      <c r="C5" s="3" t="inlineStr">
        <is>
          <t>VinStay AI</t>
        </is>
      </c>
      <c r="D5" s="3" t="inlineStr"/>
      <c r="E5" s="3" t="inlineStr">
        <is>
          <t>Nền tảng cho thuê căn hộ Vinhomes Ocean Park</t>
        </is>
      </c>
    </row>
    <row r="6">
      <c r="B6" s="3" t="inlineStr">
        <is>
          <t>Định nghĩa 1 Job có giá trị</t>
        </is>
      </c>
      <c r="C6" s="3" t="inlineStr">
        <is>
          <t>1 Giao dịch cho thuê căn hộ hoàn tất thành công (1 Closed Lease)</t>
        </is>
      </c>
      <c r="D6" s="3" t="inlineStr"/>
      <c r="E6" s="3" t="inlineStr">
        <is>
          <t>Khách cọc VietQR 2tr + ký Hợp đồng điện tử + Bàn giao số</t>
        </is>
      </c>
    </row>
    <row r="7">
      <c r="B7" s="3" t="inlineStr">
        <is>
          <t>Khách hàng mục tiêu</t>
        </is>
      </c>
      <c r="C7" s="3" t="inlineStr">
        <is>
          <t>Chủ sở hữu căn hộ Ocean Park sống tại nội thành Hà Nội</t>
        </is>
      </c>
      <c r="D7" s="3" t="inlineStr"/>
      <c r="E7" s="3" t="inlineStr">
        <is>
          <t>Cần lấp phòng nhanh, không muốn đi 25km mở cửa</t>
        </is>
      </c>
    </row>
    <row r="8">
      <c r="B8" s="3" t="inlineStr">
        <is>
          <t>Túi ngân sách chi trả</t>
        </is>
      </c>
      <c r="C8" s="3" t="inlineStr">
        <is>
          <t>Ngân sách Môi giới &amp; Vận hành cho thuê (Brokerage Commission)</t>
        </is>
      </c>
      <c r="D8" s="3" t="inlineStr"/>
      <c r="E8" s="3" t="inlineStr">
        <is>
          <t>Thay thế 1 tháng tiền thuê trả cho môi giới truyền thống</t>
        </is>
      </c>
    </row>
    <row r="9">
      <c r="B9" s="3" t="inlineStr">
        <is>
          <t>Số khách tư vấn / 1 deal chốt</t>
        </is>
      </c>
      <c r="C9" s="5" t="n">
        <v>10</v>
      </c>
      <c r="D9" s="3" t="inlineStr">
        <is>
          <t>khách</t>
        </is>
      </c>
      <c r="E9" s="3" t="inlineStr">
        <is>
          <t>10 khách chat matching -&gt; 3 khách xem nhà -&gt; 1 chốt</t>
        </is>
      </c>
    </row>
    <row r="10">
      <c r="B10" s="3" t="inlineStr">
        <is>
          <t>Số lượt dẫn xem phòng / 1 deal chốt</t>
        </is>
      </c>
      <c r="C10" s="5" t="n">
        <v>3</v>
      </c>
      <c r="D10" s="3" t="inlineStr">
        <is>
          <t>lượt</t>
        </is>
      </c>
      <c r="E10" s="3" t="inlineStr">
        <is>
          <t>Field Host đón tại sảnh và quẹt thẻ dẫn lên phòng</t>
        </is>
      </c>
    </row>
    <row r="11">
      <c r="A11" s="9" t="inlineStr">
        <is>
          <t>S2. CHI PHÍ LLM API</t>
        </is>
      </c>
    </row>
    <row r="12">
      <c r="B12" s="3" t="inlineStr">
        <is>
          <t>Model sử dụng</t>
        </is>
      </c>
      <c r="C12" s="3" t="inlineStr">
        <is>
          <t>gpt-4o-mini</t>
        </is>
      </c>
      <c r="D12" s="3" t="inlineStr"/>
      <c r="E12" s="3" t="inlineStr">
        <is>
          <t>List price OpenAI 08/10/2026</t>
        </is>
      </c>
    </row>
    <row r="13">
      <c r="B13" s="3" t="inlineStr">
        <is>
          <t>Giá Fresh Input ($ / 1M token)</t>
        </is>
      </c>
      <c r="C13" s="5" t="n">
        <v>0.15</v>
      </c>
      <c r="D13" s="3" t="inlineStr">
        <is>
          <t>$</t>
        </is>
      </c>
      <c r="E13" s="3" t="inlineStr">
        <is>
          <t>Đơn giá token fresh input</t>
        </is>
      </c>
    </row>
    <row r="14">
      <c r="B14" s="3" t="inlineStr">
        <is>
          <t>Giá Cached Input ($ / 1M token)</t>
        </is>
      </c>
      <c r="C14" s="5" t="n">
        <v>0.075</v>
      </c>
      <c r="D14" s="3" t="inlineStr">
        <is>
          <t>$</t>
        </is>
      </c>
      <c r="E14" s="3" t="inlineStr">
        <is>
          <t>Prompt caching giảm 50% chi phí input</t>
        </is>
      </c>
    </row>
    <row r="15">
      <c r="B15" s="3" t="inlineStr">
        <is>
          <t>Giá Output ($ / 1M token)</t>
        </is>
      </c>
      <c r="C15" s="5" t="n">
        <v>0.6</v>
      </c>
      <c r="D15" s="3" t="inlineStr">
        <is>
          <t>$</t>
        </is>
      </c>
      <c r="E15" s="3" t="inlineStr">
        <is>
          <t>Đơn giá token completion</t>
        </is>
      </c>
    </row>
    <row r="16">
      <c r="B16" s="3" t="inlineStr">
        <is>
          <t>Token Cached Input / Job</t>
        </is>
      </c>
      <c r="C16" s="5" t="n">
        <v>25000</v>
      </c>
      <c r="D16" s="3" t="inlineStr">
        <is>
          <t>tokens</t>
        </is>
      </c>
      <c r="E16" s="3" t="inlineStr">
        <is>
          <t>System prompt căn hộ, bảng giá All-in, quy tắc</t>
        </is>
      </c>
    </row>
    <row r="17">
      <c r="B17" s="3" t="inlineStr">
        <is>
          <t>Token Fresh Input / Job</t>
        </is>
      </c>
      <c r="C17" s="5" t="n">
        <v>6000</v>
      </c>
      <c r="D17" s="3" t="inlineStr">
        <is>
          <t>tokens</t>
        </is>
      </c>
      <c r="E17" s="3" t="inlineStr">
        <is>
          <t>Nội dung chat của 10 khách + thông tin CCCD</t>
        </is>
      </c>
    </row>
    <row r="18">
      <c r="B18" s="3" t="inlineStr">
        <is>
          <t>Token Output / Job</t>
        </is>
      </c>
      <c r="C18" s="5" t="n">
        <v>3500</v>
      </c>
      <c r="D18" s="3" t="inlineStr">
        <is>
          <t>tokens</t>
        </is>
      </c>
      <c r="E18" s="3" t="inlineStr">
        <is>
          <t>Câu trả lời tư vấn + soạn thảo phụ lục hợp đồng</t>
        </is>
      </c>
    </row>
    <row r="19">
      <c r="B19" s="3" t="inlineStr">
        <is>
          <t>Chi phí LLM / Job (USD)</t>
        </is>
      </c>
      <c r="C19" s="10">
        <f>(C16/1000000*C14)+(C17/1000000*C13)+(C18/1000000*C15)</f>
        <v/>
      </c>
      <c r="D19" s="3" t="inlineStr">
        <is>
          <t>$</t>
        </is>
      </c>
      <c r="E19" s="3" t="inlineStr">
        <is>
          <t>Công thức tự tính</t>
        </is>
      </c>
    </row>
    <row r="20">
      <c r="B20" s="3" t="inlineStr">
        <is>
          <t>Chi phí LLM / Job (VNĐ)</t>
        </is>
      </c>
      <c r="C20" s="10">
        <f>C19*26000</f>
        <v/>
      </c>
      <c r="D20" s="3" t="inlineStr">
        <is>
          <t>VNĐ</t>
        </is>
      </c>
      <c r="E20" s="3" t="inlineStr">
        <is>
          <t>Tỷ giá 26.000</t>
        </is>
      </c>
    </row>
    <row r="21"/>
    <row r="22">
      <c r="A22" s="9" t="inlineStr">
        <is>
          <t>S3. CHI PHÍ INFRASTRUCTURE</t>
        </is>
      </c>
    </row>
    <row r="23">
      <c r="B23" s="3" t="inlineStr">
        <is>
          <t>Vector DB &amp; Embedding</t>
        </is>
      </c>
      <c r="C23" s="5" t="n">
        <v>0.015</v>
      </c>
      <c r="D23" s="3" t="inlineStr">
        <is>
          <t>$</t>
        </is>
      </c>
      <c r="E23" s="3" t="inlineStr">
        <is>
          <t>Pinecone / pgvector tìm kiếm căn hộ</t>
        </is>
      </c>
    </row>
    <row r="24">
      <c r="B24" s="3" t="inlineStr">
        <is>
          <t>Storage (ảnh CCCD &amp; Hộ chiếu bàn giao)</t>
        </is>
      </c>
      <c r="C24" s="5" t="n">
        <v>0.025</v>
      </c>
      <c r="D24" s="3" t="inlineStr">
        <is>
          <t>$</t>
        </is>
      </c>
      <c r="E24" s="3" t="inlineStr">
        <is>
          <t>Supabase S3 lưu ảnh mã hóa AES-256</t>
        </is>
      </c>
    </row>
    <row r="25">
      <c r="B25" s="3" t="inlineStr">
        <is>
          <t>Zalo OTP &amp; VietQR Webhook</t>
        </is>
      </c>
      <c r="C25" s="5" t="n">
        <v>0.02</v>
      </c>
      <c r="D25" s="3" t="inlineStr">
        <is>
          <t>$</t>
        </is>
      </c>
      <c r="E25" s="3" t="inlineStr">
        <is>
          <t>Phí gửi OTP Zalo ZNS và kết nối VietQR</t>
        </is>
      </c>
    </row>
    <row r="26">
      <c r="B26" s="3" t="inlineStr">
        <is>
          <t>Tổng Infra / Job (USD)</t>
        </is>
      </c>
      <c r="C26" s="10">
        <f>SUM(C23:C25)</f>
        <v/>
      </c>
      <c r="D26" s="3" t="inlineStr">
        <is>
          <t>$</t>
        </is>
      </c>
      <c r="E26" s="3" t="inlineStr">
        <is>
          <t>Công thức tự tính</t>
        </is>
      </c>
    </row>
    <row r="27">
      <c r="B27" s="3" t="inlineStr">
        <is>
          <t>Tổng Infra / Job (VNĐ)</t>
        </is>
      </c>
      <c r="C27" s="10">
        <f>C26*26000</f>
        <v/>
      </c>
      <c r="D27" s="3" t="inlineStr">
        <is>
          <t>VNĐ</t>
        </is>
      </c>
      <c r="E27" s="3" t="inlineStr">
        <is>
          <t>Quy đổi VNĐ</t>
        </is>
      </c>
    </row>
    <row r="28"/>
    <row r="29">
      <c r="A29" s="9" t="inlineStr">
        <is>
          <t>S4. CHI PHÍ RETRY</t>
        </is>
      </c>
    </row>
    <row r="30">
      <c r="B30" s="3" t="inlineStr">
        <is>
          <t>Tỷ lệ Retry ước tính</t>
        </is>
      </c>
      <c r="C30" s="5" t="n">
        <v>0.06</v>
      </c>
      <c r="D30" s="3" t="inlineStr">
        <is>
          <t>%</t>
        </is>
      </c>
      <c r="E30" s="3" t="inlineStr">
        <is>
          <t>Bắt buộc 5-10%, không để 0% (OCR mờ, timeout)</t>
        </is>
      </c>
    </row>
    <row r="31">
      <c r="B31" s="3" t="inlineStr">
        <is>
          <t>Chi phí Retry / Job (USD)</t>
        </is>
      </c>
      <c r="C31" s="10">
        <f>C19*C30</f>
        <v/>
      </c>
      <c r="D31" s="3" t="inlineStr">
        <is>
          <t>$</t>
        </is>
      </c>
      <c r="E31" s="3">
        <f> Chi phí LLM * Tỷ lệ Retry</f>
        <v/>
      </c>
    </row>
    <row r="32">
      <c r="B32" s="3" t="inlineStr">
        <is>
          <t>Chi phí Retry / Job (VNĐ)</t>
        </is>
      </c>
      <c r="C32" s="10">
        <f>C31*26000</f>
        <v/>
      </c>
      <c r="D32" s="3" t="inlineStr">
        <is>
          <t>VNĐ</t>
        </is>
      </c>
      <c r="E32" s="3" t="inlineStr">
        <is>
          <t>Quy đổi VNĐ</t>
        </is>
      </c>
    </row>
    <row r="33"/>
    <row r="34">
      <c r="A34" s="9" t="inlineStr">
        <is>
          <t>S5. CHI PHÍ HITL (CON NGƯỜI)</t>
        </is>
      </c>
    </row>
    <row r="35">
      <c r="B35" s="3" t="inlineStr">
        <is>
          <t>Chọn Biến thể HITL</t>
        </is>
      </c>
      <c r="C35" s="3" t="inlineStr">
        <is>
          <t>Biến thể B</t>
        </is>
      </c>
      <c r="D35" s="3" t="inlineStr"/>
      <c r="E35" s="3" t="inlineStr">
        <is>
          <t>VinStay chịu trách nhiệm kết quả vận hành</t>
        </is>
      </c>
    </row>
    <row r="36">
      <c r="B36" s="3" t="inlineStr">
        <is>
          <t>Thù lao Field Host dẫn phòng</t>
        </is>
      </c>
      <c r="C36" s="5" t="n">
        <v>80000</v>
      </c>
      <c r="D36" s="3" t="inlineStr">
        <is>
          <t>VNĐ / lượt</t>
        </is>
      </c>
      <c r="E36" s="3" t="inlineStr">
        <is>
          <t>Host nội khu Ocean Park đón khách tại sảnh</t>
        </is>
      </c>
    </row>
    <row r="37">
      <c r="B37" s="3" t="inlineStr">
        <is>
          <t>Số lượt dẫn phòng / deal</t>
        </is>
      </c>
      <c r="C37" s="10">
        <f>C10</f>
        <v/>
      </c>
      <c r="D37" s="3" t="inlineStr">
        <is>
          <t>lượt</t>
        </is>
      </c>
      <c r="E37" s="3" t="inlineStr">
        <is>
          <t>Lấy từ S1</t>
        </is>
      </c>
    </row>
    <row r="38">
      <c r="B38" s="3" t="inlineStr">
        <is>
          <t>Chi phí Field Host / deal</t>
        </is>
      </c>
      <c r="C38" s="10">
        <f>C36*C37</f>
        <v/>
      </c>
      <c r="D38" s="3" t="inlineStr">
        <is>
          <t>VNĐ</t>
        </is>
      </c>
      <c r="E38" s="3" t="inlineStr">
        <is>
          <t>240.000 VNĐ cho 3 lượt xem phòng</t>
        </is>
      </c>
    </row>
    <row r="39">
      <c r="B39" s="3" t="inlineStr">
        <is>
          <t>Admin Review &amp; Kiểm tra hợp đồng (phút)</t>
        </is>
      </c>
      <c r="C39" s="5" t="n">
        <v>10</v>
      </c>
      <c r="D39" s="3" t="inlineStr">
        <is>
          <t>phút</t>
        </is>
      </c>
      <c r="E39" s="3" t="inlineStr">
        <is>
          <t>Kiểm tra chéo eKYC &amp; hợp đồng số</t>
        </is>
      </c>
    </row>
    <row r="40">
      <c r="B40" s="3" t="inlineStr">
        <is>
          <t>Chi phí nhân sự Admin ($/giờ)</t>
        </is>
      </c>
      <c r="C40" s="5" t="n">
        <v>3</v>
      </c>
      <c r="D40" s="3" t="inlineStr">
        <is>
          <t>$ / giờ</t>
        </is>
      </c>
      <c r="E40" s="3" t="inlineStr">
        <is>
          <t>78.000 VNĐ / giờ</t>
        </is>
      </c>
    </row>
    <row r="41">
      <c r="B41" s="3" t="inlineStr">
        <is>
          <t>Chi phí Admin Review / deal</t>
        </is>
      </c>
      <c r="C41" s="10">
        <f>(C39/60)*C40*26000</f>
        <v/>
      </c>
      <c r="D41" s="3" t="inlineStr">
        <is>
          <t>VNĐ</t>
        </is>
      </c>
      <c r="E41" s="3" t="inlineStr">
        <is>
          <t>13.000 VNĐ / hợp đồng</t>
        </is>
      </c>
    </row>
    <row r="42">
      <c r="B42" s="3" t="inlineStr">
        <is>
          <t>Tổng HITL / Job (VNĐ)</t>
        </is>
      </c>
      <c r="C42" s="10">
        <f>C38+C41</f>
        <v/>
      </c>
      <c r="D42" s="3" t="inlineStr">
        <is>
          <t>VNĐ</t>
        </is>
      </c>
      <c r="E42" s="3" t="inlineStr">
        <is>
          <t>253.000 VNĐ</t>
        </is>
      </c>
    </row>
    <row r="43">
      <c r="B43" s="3" t="inlineStr">
        <is>
          <t>Tổng HITL / Job (USD)</t>
        </is>
      </c>
      <c r="C43" s="10">
        <f>C42/26000</f>
        <v/>
      </c>
      <c r="D43" s="3" t="inlineStr">
        <is>
          <t>$</t>
        </is>
      </c>
      <c r="E43" s="3" t="inlineStr">
        <is>
          <t>Quy đổi USD</t>
        </is>
      </c>
    </row>
    <row r="44"/>
    <row r="45">
      <c r="A45" s="9" t="inlineStr">
        <is>
          <t>S6. OVERHEAD &amp; DỰ PHÒNG</t>
        </is>
      </c>
    </row>
    <row r="46">
      <c r="B46" s="3" t="inlineStr">
        <is>
          <t>Phí thẩm định 32 hạng mục lần đầu (phân bổ)</t>
        </is>
      </c>
      <c r="C46" s="5" t="n">
        <v>150000</v>
      </c>
      <c r="D46" s="3" t="inlineStr">
        <is>
          <t>VNĐ</t>
        </is>
      </c>
      <c r="E46" s="3" t="inlineStr">
        <is>
          <t>Inspector kiểm định căn lúc ký gửi độc quyền</t>
        </is>
      </c>
    </row>
    <row r="47">
      <c r="B47" s="3" t="inlineStr">
        <is>
          <t>Dự phòng rủi ro hủy hẹn &amp; bảo lãnh cọc</t>
        </is>
      </c>
      <c r="C47" s="5" t="n">
        <v>200000</v>
      </c>
      <c r="D47" s="3" t="inlineStr">
        <is>
          <t>VNĐ</t>
        </is>
      </c>
      <c r="E47" s="3" t="inlineStr">
        <is>
          <t>Bảo hiểm quy trình vận hành và giữ chân khách</t>
        </is>
      </c>
    </row>
    <row r="48">
      <c r="B48" s="3" t="inlineStr">
        <is>
          <t>Overhead R&amp;D / Tech phân bổ</t>
        </is>
      </c>
      <c r="C48" s="5" t="n">
        <v>0.5</v>
      </c>
      <c r="D48" s="3" t="inlineStr">
        <is>
          <t>$</t>
        </is>
      </c>
      <c r="E48" s="3" t="inlineStr">
        <is>
          <t>Chi phí bảo trì hệ thống</t>
        </is>
      </c>
    </row>
    <row r="49">
      <c r="B49" s="3" t="inlineStr">
        <is>
          <t>Tổng Overhead / Job (VNĐ)</t>
        </is>
      </c>
      <c r="C49" s="10">
        <f>C46+C47+(C48*26000)</f>
        <v/>
      </c>
      <c r="D49" s="3" t="inlineStr">
        <is>
          <t>VNĐ</t>
        </is>
      </c>
      <c r="E49" s="3" t="inlineStr">
        <is>
          <t>363.000 VNĐ</t>
        </is>
      </c>
    </row>
    <row r="50">
      <c r="B50" s="3" t="inlineStr">
        <is>
          <t>Tổng Overhead / Job (USD)</t>
        </is>
      </c>
      <c r="C50" s="10">
        <f>C49/26000</f>
        <v/>
      </c>
      <c r="D50" s="3" t="inlineStr">
        <is>
          <t>$</t>
        </is>
      </c>
      <c r="E50" s="3" t="inlineStr">
        <is>
          <t>Quy đổi USD</t>
        </is>
      </c>
    </row>
    <row r="51"/>
    <row r="52">
      <c r="A52" s="9" t="inlineStr">
        <is>
          <t>S7. TỔNG COST / JOB</t>
        </is>
      </c>
    </row>
    <row r="53">
      <c r="B53" s="4" t="inlineStr">
        <is>
          <t>Tổng Cost / Job (USD) - Mẫu số Job Hoàn thành</t>
        </is>
      </c>
      <c r="C53" s="11">
        <f>C19+C26+C31+C43+C50</f>
        <v/>
      </c>
      <c r="D53" s="4" t="inlineStr">
        <is>
          <t>$</t>
        </is>
      </c>
      <c r="E53" s="3" t="inlineStr">
        <is>
          <t>Chia cho Job HOÀN THÀNH (1 deal chốt)</t>
        </is>
      </c>
    </row>
    <row r="54">
      <c r="B54" s="4" t="inlineStr">
        <is>
          <t>Tổng Cost / Job (VNĐ)</t>
        </is>
      </c>
      <c r="C54" s="11">
        <f>C53*26000</f>
        <v/>
      </c>
      <c r="D54" s="4" t="inlineStr">
        <is>
          <t>VNĐ</t>
        </is>
      </c>
      <c r="E54" s="3" t="inlineStr">
        <is>
          <t>Tương đương ~630.000 VNĐ / giao dịch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55" customWidth="1" min="1" max="1"/>
    <col width="55" customWidth="1" min="2" max="2"/>
    <col width="55" customWidth="1" min="3" max="3"/>
    <col width="16" customWidth="1" min="4" max="4"/>
    <col width="53" customWidth="1" min="5" max="5"/>
    <col width="26" customWidth="1" min="6" max="6"/>
  </cols>
  <sheetData>
    <row r="1">
      <c r="A1" s="1" t="inlineStr">
        <is>
          <t>BẢNG ĐỊNH GIÁ &amp; GROSS MARGIN (PRICING &amp; SENSITIVITY)</t>
        </is>
      </c>
    </row>
    <row r="2"/>
    <row r="3">
      <c r="A3" s="8" t="inlineStr">
        <is>
          <t>Chỉ số</t>
        </is>
      </c>
      <c r="B3" s="8" t="inlineStr">
        <is>
          <t>Công thức / Cơ sở</t>
        </is>
      </c>
      <c r="C3" s="8" t="inlineStr">
        <is>
          <t>Giá trị</t>
        </is>
      </c>
      <c r="D3" s="8" t="inlineStr">
        <is>
          <t>Đơn vị</t>
        </is>
      </c>
      <c r="E3" s="8" t="inlineStr">
        <is>
          <t>Đánh giá &amp; Ngưỡng chuẩn</t>
        </is>
      </c>
    </row>
    <row r="4">
      <c r="A4" s="3" t="inlineStr">
        <is>
          <t>Cost / Job gốc (USD)</t>
        </is>
      </c>
      <c r="B4" s="3" t="inlineStr">
        <is>
          <t>Lấy từ Tab 1</t>
        </is>
      </c>
      <c r="C4" s="10">
        <f>1_Cost_Job!C53</f>
        <v/>
      </c>
      <c r="D4" s="3" t="inlineStr">
        <is>
          <t>$</t>
        </is>
      </c>
      <c r="E4" s="3" t="inlineStr">
        <is>
          <t>Lấy từ Tab 1</t>
        </is>
      </c>
    </row>
    <row r="5">
      <c r="A5" s="3" t="inlineStr">
        <is>
          <t>Cost / Job gốc (VNĐ)</t>
        </is>
      </c>
      <c r="B5" s="3" t="inlineStr">
        <is>
          <t>Lấy từ Tab 1</t>
        </is>
      </c>
      <c r="C5" s="10">
        <f>1_Cost_Job!C54</f>
        <v/>
      </c>
      <c r="D5" s="3" t="inlineStr">
        <is>
          <t>VNĐ</t>
        </is>
      </c>
      <c r="E5" s="3" t="inlineStr">
        <is>
          <t>Lấy từ Tab 1</t>
        </is>
      </c>
    </row>
    <row r="6">
      <c r="A6" s="3" t="inlineStr">
        <is>
          <t>Giá sàn kỹ thuật (Floor Price)</t>
        </is>
      </c>
      <c r="B6" s="3">
        <f>C5*3</f>
        <v/>
      </c>
      <c r="C6" s="10">
        <f>C5*3</f>
        <v/>
      </c>
      <c r="D6" s="3" t="inlineStr">
        <is>
          <t>VNĐ</t>
        </is>
      </c>
      <c r="E6" s="3" t="inlineStr">
        <is>
          <t>Quy tắc: Giá bán &gt;= 3x Cost/Job (&gt;= 60% GM)</t>
        </is>
      </c>
    </row>
    <row r="7">
      <c r="A7" s="3" t="inlineStr">
        <is>
          <t>Giá trần thị trường (Ceiling Price)</t>
        </is>
      </c>
      <c r="B7" s="3" t="inlineStr">
        <is>
          <t>100% tiền thuê tháng đầu</t>
        </is>
      </c>
      <c r="C7" s="5" t="n">
        <v>7000000</v>
      </c>
      <c r="D7" s="3" t="inlineStr">
        <is>
          <t>VNĐ</t>
        </is>
      </c>
      <c r="E7" s="3" t="inlineStr">
        <is>
          <t>Môi giới truyền thống thu 7.000.000 VNĐ</t>
        </is>
      </c>
    </row>
    <row r="8">
      <c r="A8" s="3" t="inlineStr">
        <is>
          <t>GIÁ BÁN ĐỀ XUẤT (Proposed Price)</t>
        </is>
      </c>
      <c r="B8" s="3" t="inlineStr">
        <is>
          <t>50% tiền thuê tháng đầu</t>
        </is>
      </c>
      <c r="C8" s="5" t="n">
        <v>3500000</v>
      </c>
      <c r="D8" s="3" t="inlineStr">
        <is>
          <t>VNĐ</t>
        </is>
      </c>
      <c r="E8" s="3" t="inlineStr">
        <is>
          <t>Chủ nhà tiết kiệm 50% phí (~134.6 USD)</t>
        </is>
      </c>
    </row>
    <row r="9">
      <c r="A9" s="3" t="inlineStr">
        <is>
          <t>Giá bán đề xuất (USD)</t>
        </is>
      </c>
      <c r="B9" s="3">
        <f>C8/26000</f>
        <v/>
      </c>
      <c r="C9" s="10">
        <f>C8/26000</f>
        <v/>
      </c>
      <c r="D9" s="3" t="inlineStr">
        <is>
          <t>$</t>
        </is>
      </c>
      <c r="E9" s="3" t="inlineStr">
        <is>
          <t>Quy đổi USD</t>
        </is>
      </c>
    </row>
    <row r="10">
      <c r="A10" s="3" t="inlineStr">
        <is>
          <t>GROSS MARGIN ĐẠT ĐƯỢC (%)</t>
        </is>
      </c>
      <c r="B10" s="3">
        <f>(C8-C5)/C8</f>
        <v/>
      </c>
      <c r="C10" s="12">
        <f>(C8-C5)/C8</f>
        <v/>
      </c>
      <c r="D10" s="3" t="inlineStr">
        <is>
          <t>%</t>
        </is>
      </c>
      <c r="E10" s="3" t="inlineStr">
        <is>
          <t>Benchmark ngành AI: 60 - 80%</t>
        </is>
      </c>
    </row>
    <row r="11">
      <c r="A11" s="3" t="inlineStr">
        <is>
          <t>Kiểm tra Gross Margin &gt;= 60%</t>
        </is>
      </c>
      <c r="B11" s="3">
        <f>IF(C10&gt;=0.6, "PASS - ĐẠT CHUẨN", "FAIL - DƯỚI 60%")</f>
        <v/>
      </c>
      <c r="C11" s="10">
        <f>IF(C10&gt;=0.6, "PASS - ĐẠT CHUẨN", "FAIL - DƯỚI 60%")</f>
        <v/>
      </c>
      <c r="D11" s="3" t="inlineStr">
        <is>
          <t>Kết luận</t>
        </is>
      </c>
      <c r="E11" s="3" t="inlineStr">
        <is>
          <t>Ngưỡng sinh tử của mô hình SaaS/AI</t>
        </is>
      </c>
    </row>
    <row r="12">
      <c r="A12" s="3" t="inlineStr">
        <is>
          <t>Breakeven Containment Rate</t>
        </is>
      </c>
      <c r="B12" s="3" t="inlineStr">
        <is>
          <t>Ngưỡng tự động tối thiểu</t>
        </is>
      </c>
      <c r="C12" s="5" t="n">
        <v>0.724</v>
      </c>
      <c r="D12" s="3" t="inlineStr">
        <is>
          <t>%</t>
        </is>
      </c>
      <c r="E12" s="3" t="inlineStr">
        <is>
          <t>Tỷ lệ tự động hóa tối thiểu để giữ GM &gt;= 60%</t>
        </is>
      </c>
    </row>
    <row r="13">
      <c r="A13" s="3" t="inlineStr">
        <is>
          <t>Số lượt dẫn phòng tối đa trước khi lỗ GM 60%</t>
        </is>
      </c>
      <c r="B13" s="3" t="inlineStr">
        <is>
          <t>Giới hạn HITL chịu được</t>
        </is>
      </c>
      <c r="C13" s="5" t="n">
        <v>9</v>
      </c>
      <c r="D13" s="3" t="inlineStr">
        <is>
          <t>lượt</t>
        </is>
      </c>
      <c r="E13" s="3" t="inlineStr">
        <is>
          <t>Nếu &gt; 9 lượt dẫn phòng/deal thì GM sẽ tụt dưới 60%</t>
        </is>
      </c>
    </row>
    <row r="14"/>
    <row r="15"/>
    <row r="16">
      <c r="A16" s="9" t="inlineStr">
        <is>
          <t>BẢNG ĐỘ NHẠY GROSS MARGIN THEO SỐ LƯỢT DẪN XEM PHÒNG (HITL)</t>
        </is>
      </c>
    </row>
    <row r="17">
      <c r="A17" s="8" t="inlineStr">
        <is>
          <t>Số lượt dẫn phòng / deal</t>
        </is>
      </c>
      <c r="B17" s="8" t="inlineStr">
        <is>
          <t>Chi phí HITL (VNĐ)</t>
        </is>
      </c>
      <c r="C17" s="8" t="inlineStr">
        <is>
          <t>Tổng Cost/Job (VNĐ)</t>
        </is>
      </c>
      <c r="D17" s="8" t="inlineStr">
        <is>
          <t>Giá bán (VNĐ)</t>
        </is>
      </c>
      <c r="E17" s="8" t="inlineStr">
        <is>
          <t>Gross Margin (%)</t>
        </is>
      </c>
      <c r="F17" s="8" t="inlineStr">
        <is>
          <t>Trạng thái</t>
        </is>
      </c>
    </row>
    <row r="18">
      <c r="A18" s="3" t="n">
        <v>1</v>
      </c>
      <c r="B18" s="3" t="n">
        <v>93000</v>
      </c>
      <c r="C18" s="3" t="n">
        <v>470000</v>
      </c>
      <c r="D18" s="3" t="n">
        <v>3500000</v>
      </c>
      <c r="E18" s="12">
        <f>(D18-C18)/D18</f>
        <v/>
      </c>
      <c r="F18" s="7" t="inlineStr">
        <is>
          <t>Rất tốt (86.6%)</t>
        </is>
      </c>
    </row>
    <row r="19">
      <c r="A19" s="3" t="n">
        <v>2</v>
      </c>
      <c r="B19" s="3" t="n">
        <v>173000</v>
      </c>
      <c r="C19" s="3" t="n">
        <v>550000</v>
      </c>
      <c r="D19" s="3" t="n">
        <v>3500000</v>
      </c>
      <c r="E19" s="12">
        <f>(D19-C19)/D19</f>
        <v/>
      </c>
      <c r="F19" s="7" t="inlineStr">
        <is>
          <t>Tốt (84.3%)</t>
        </is>
      </c>
    </row>
    <row r="20">
      <c r="A20" s="3" t="n">
        <v>3</v>
      </c>
      <c r="B20" s="3" t="n">
        <v>253000</v>
      </c>
      <c r="C20" s="3" t="n">
        <v>630000</v>
      </c>
      <c r="D20" s="3" t="n">
        <v>3500000</v>
      </c>
      <c r="E20" s="12">
        <f>(D20-C20)/D20</f>
        <v/>
      </c>
      <c r="F20" s="7" t="inlineStr">
        <is>
          <t>Chuẩn cơ sở (82.0%)</t>
        </is>
      </c>
    </row>
    <row r="21">
      <c r="A21" s="3" t="n">
        <v>5</v>
      </c>
      <c r="B21" s="3" t="n">
        <v>413000</v>
      </c>
      <c r="C21" s="3" t="n">
        <v>790000</v>
      </c>
      <c r="D21" s="3" t="n">
        <v>3500000</v>
      </c>
      <c r="E21" s="12">
        <f>(D21-C21)/D21</f>
        <v/>
      </c>
      <c r="F21" s="3" t="inlineStr">
        <is>
          <t>An toàn (77.4%)</t>
        </is>
      </c>
    </row>
    <row r="22">
      <c r="A22" s="3" t="n">
        <v>7</v>
      </c>
      <c r="B22" s="3" t="n">
        <v>573000</v>
      </c>
      <c r="C22" s="3" t="n">
        <v>950000</v>
      </c>
      <c r="D22" s="3" t="n">
        <v>3500000</v>
      </c>
      <c r="E22" s="12">
        <f>(D22-C22)/D22</f>
        <v/>
      </c>
      <c r="F22" s="3" t="inlineStr">
        <is>
          <t>Chấp nhận được (72.9%)</t>
        </is>
      </c>
    </row>
    <row r="23">
      <c r="A23" s="3" t="n">
        <v>9</v>
      </c>
      <c r="B23" s="3" t="n">
        <v>733000</v>
      </c>
      <c r="C23" s="3" t="n">
        <v>1110000</v>
      </c>
      <c r="D23" s="3" t="n">
        <v>3500000</v>
      </c>
      <c r="E23" s="12">
        <f>(D23-C23)/D23</f>
        <v/>
      </c>
      <c r="F23" s="3" t="inlineStr">
        <is>
          <t>Ngưỡng cảnh báo (68.3%)</t>
        </is>
      </c>
    </row>
    <row r="24">
      <c r="A24" s="3" t="n">
        <v>12</v>
      </c>
      <c r="B24" s="3" t="n">
        <v>973000</v>
      </c>
      <c r="C24" s="3" t="n">
        <v>1350000</v>
      </c>
      <c r="D24" s="3" t="n">
        <v>3500000</v>
      </c>
      <c r="E24" s="12">
        <f>(D24-C24)/D24</f>
        <v/>
      </c>
      <c r="F24" s="3" t="inlineStr">
        <is>
          <t>Cần tối ưu (61.4%)</t>
        </is>
      </c>
    </row>
    <row r="25">
      <c r="A25" s="3" t="n">
        <v>15</v>
      </c>
      <c r="B25" s="3" t="n">
        <v>1213000</v>
      </c>
      <c r="C25" s="3" t="n">
        <v>1590000</v>
      </c>
      <c r="D25" s="3" t="n">
        <v>3500000</v>
      </c>
      <c r="E25" s="12">
        <f>(D25-C25)/D25</f>
        <v/>
      </c>
      <c r="F25" s="13" t="inlineStr">
        <is>
          <t>Vùng nguy hiểm (&lt; 60%)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showGridLines="1" workbookViewId="0">
      <selection activeCell="A1" sqref="A1"/>
    </sheetView>
  </sheetViews>
  <sheetFormatPr baseColWidth="8" defaultRowHeight="15"/>
  <cols>
    <col width="55" customWidth="1" min="1" max="1"/>
    <col width="55" customWidth="1" min="2" max="2"/>
    <col width="55" customWidth="1" min="3" max="3"/>
    <col width="55" customWidth="1" min="4" max="4"/>
    <col width="43" customWidth="1" min="5" max="5"/>
  </cols>
  <sheetData>
    <row r="1">
      <c r="A1" s="1" t="inlineStr">
        <is>
          <t>MA TRẬN VALUE METRIC &amp; BENCHMARK THỊ TRƯỜNG</t>
        </is>
      </c>
    </row>
    <row r="2"/>
    <row r="3">
      <c r="A3" s="8" t="inlineStr">
        <is>
          <t>Tiêu chí đánh giá</t>
        </is>
      </c>
      <c r="B3" s="8" t="inlineStr">
        <is>
          <t>Mức độ / Trạng thái</t>
        </is>
      </c>
      <c r="C3" s="8" t="inlineStr">
        <is>
          <t>Điểm (1-5)</t>
        </is>
      </c>
      <c r="D3" s="8" t="inlineStr">
        <is>
          <t>Bằng chứng thực tế tại VinStay AI</t>
        </is>
      </c>
    </row>
    <row r="4">
      <c r="A4" s="3" t="inlineStr">
        <is>
          <t>1. Attribution (Đo lường nguyên nhân kết quả)</t>
        </is>
      </c>
      <c r="B4" s="3" t="inlineStr">
        <is>
          <t>Rất cao</t>
        </is>
      </c>
      <c r="C4" s="5" t="n">
        <v>5</v>
      </c>
      <c r="D4" s="3" t="inlineStr">
        <is>
          <t>Mỗi giao dịch chốt thuê đều gắn với mã cọc VietQR động và Hợp đồng số tạo từ hệ thống.</t>
        </is>
      </c>
    </row>
    <row r="5">
      <c r="A5" s="3" t="inlineStr">
        <is>
          <t>2. Tách bạch kết quả do AI vs con người</t>
        </is>
      </c>
      <c r="B5" s="3" t="inlineStr">
        <is>
          <t>Rõ ràng</t>
        </is>
      </c>
      <c r="C5" s="5" t="n">
        <v>4</v>
      </c>
      <c r="D5" s="3" t="inlineStr">
        <is>
          <t>AI xử lý 100% khâu lọc căn All-in, OTP, gen hợp đồng; Host chỉ làm nhiệm vụ mở cửa sảnh.</t>
        </is>
      </c>
    </row>
    <row r="6">
      <c r="A6" s="3" t="inlineStr">
        <is>
          <t>3. Tránh rủi ro khách đổ lỗi không do AI</t>
        </is>
      </c>
      <c r="B6" s="3" t="inlineStr">
        <is>
          <t>Hoàn toàn</t>
        </is>
      </c>
      <c r="C6" s="5" t="n">
        <v>5</v>
      </c>
      <c r="D6" s="3" t="inlineStr">
        <is>
          <t>Khách bấm xác nhận xem phòng và quét cọc trên hệ thống trước khi ký hợp đồng.</t>
        </is>
      </c>
    </row>
    <row r="7">
      <c r="A7" s="3" t="inlineStr">
        <is>
          <t>4. Autonomy (Mức độ tự chủ của AI Agent)</t>
        </is>
      </c>
      <c r="B7" s="3" t="inlineStr">
        <is>
          <t>Trung bình - Cao</t>
        </is>
      </c>
      <c r="C7" s="5" t="n">
        <v>4</v>
      </c>
      <c r="D7" s="3" t="inlineStr">
        <is>
          <t>AI tự vận hành 80% luồng công việc; cần Field Host mở cửa vật lý (HITL có kiểm soát).</t>
        </is>
      </c>
    </row>
    <row r="8">
      <c r="A8" s="3" t="inlineStr">
        <is>
          <t>5. Định lượng được giá trị kinh tế trực tiếp</t>
        </is>
      </c>
      <c r="B8" s="3" t="inlineStr">
        <is>
          <t>Tuyệt đối</t>
        </is>
      </c>
      <c r="C8" s="5" t="n">
        <v>5</v>
      </c>
      <c r="D8" s="3" t="inlineStr">
        <is>
          <t>Chủ nhà nhận tiền cọc thật, tiết kiệm 15-20 ngày trống phòng và 50% phí môi giới.</t>
        </is>
      </c>
    </row>
    <row r="9">
      <c r="A9" s="4" t="inlineStr">
        <is>
          <t>GỢI Ý VALUE METRIC TỪ MA TRẬN</t>
        </is>
      </c>
      <c r="B9" s="4" t="inlineStr">
        <is>
          <t>Outcome-Based / Commission-Based</t>
        </is>
      </c>
      <c r="C9" s="5" t="n">
        <v>5</v>
      </c>
      <c r="D9" s="3" t="inlineStr">
        <is>
          <t>Attribution cao + Giá trị kinh tế rõ ràng -&gt; Cho phép thu phí theo Outcome!</t>
        </is>
      </c>
    </row>
    <row r="10">
      <c r="A10" s="4" t="inlineStr">
        <is>
          <t>MÔ HÌNH GIÁ CHỐT</t>
        </is>
      </c>
      <c r="B10" s="4" t="inlineStr">
        <is>
          <t>Outcome-based: 50% tiền thuê tháng đầu (~3.500.000 VNĐ / giao dịch thành công)</t>
        </is>
      </c>
      <c r="C10" s="3" t="inlineStr"/>
      <c r="D10" s="3" t="inlineStr">
        <is>
          <t>Miễn phí niêm yết, chỉ thu tiền khi khách cọc và ký hợp đồng thành công.</t>
        </is>
      </c>
    </row>
    <row r="11"/>
    <row r="12"/>
    <row r="13">
      <c r="A13" s="9" t="inlineStr">
        <is>
          <t>BENCHMARK 2 ĐỐI THỦ / SẢN PHẨM THỰC TẾ CÓ LINK</t>
        </is>
      </c>
    </row>
    <row r="14">
      <c r="A14" s="8" t="inlineStr">
        <is>
          <t>Tên sản phẩm</t>
        </is>
      </c>
      <c r="B14" s="8" t="inlineStr">
        <is>
          <t>Mô hình tính giá</t>
        </is>
      </c>
      <c r="C14" s="8" t="inlineStr">
        <is>
          <t>Mức giá niêm yết</t>
        </is>
      </c>
      <c r="D14" s="8" t="inlineStr">
        <is>
          <t>Ưu điểm &amp; Nhược điểm</t>
        </is>
      </c>
      <c r="E14" s="8" t="inlineStr">
        <is>
          <t>Link nguồn kiểm chứng</t>
        </is>
      </c>
    </row>
    <row r="15">
      <c r="A15" s="3" t="inlineStr">
        <is>
          <t>Môi giới truyền thống (Đất Xanh, CenLand, môi giới tự do)</t>
        </is>
      </c>
      <c r="B15" s="3" t="inlineStr">
        <is>
          <t>Outcome (Hoa hồng)</t>
        </is>
      </c>
      <c r="C15" s="3" t="inlineStr">
        <is>
          <t>100% tiền thuê tháng đầu (7.000.000 - 10.000.000 VNĐ)</t>
        </is>
      </c>
      <c r="D15" s="3" t="inlineStr">
        <is>
          <t>Khách quen trả theo kết quả nhưng phí quá cao, chủ nhà vẫn phải đi mở cửa, hay bị cắt cầu.</t>
        </is>
      </c>
      <c r="E15" s="3" t="inlineStr">
        <is>
          <t>https://cenland.vn / https://datxanh.vn</t>
        </is>
      </c>
    </row>
    <row r="16">
      <c r="A16" s="3" t="inlineStr">
        <is>
          <t>Intercom Fin AI Agent</t>
        </is>
      </c>
      <c r="B16" s="3" t="inlineStr">
        <is>
          <t>Outcome-based</t>
        </is>
      </c>
      <c r="C16" s="3" t="inlineStr">
        <is>
          <t>$0.99 / resolution</t>
        </is>
      </c>
      <c r="D16" s="3" t="inlineStr">
        <is>
          <t>Định nghĩa resolution chặt chẽ (khách không mở lại ticket trong 72h). Chuẩn mực Outcome ngành AI.</t>
        </is>
      </c>
      <c r="E16" s="3" t="inlineStr">
        <is>
          <t>https://fin.ai/pricing/</t>
        </is>
      </c>
    </row>
    <row r="17">
      <c r="A17" s="3" t="inlineStr">
        <is>
          <t>Airbnb Host Marketplace</t>
        </is>
      </c>
      <c r="B17" s="3" t="inlineStr">
        <is>
          <t>Outcome / Take-rate</t>
        </is>
      </c>
      <c r="C17" s="3" t="inlineStr">
        <is>
          <t>3% - 15% trên mỗi booking thành công</t>
        </is>
      </c>
      <c r="D17" s="3" t="inlineStr">
        <is>
          <t>Mô hình nền tảng điều phối chia sẻ doanh thu chuẩn quốc tế, zero upfront fee.</t>
        </is>
      </c>
      <c r="E17" s="3" t="inlineStr">
        <is>
          <t>https://www.airbnb.com/help/article/1857</t>
        </is>
      </c>
    </row>
    <row r="18"/>
    <row r="19"/>
    <row r="20">
      <c r="A20" s="9" t="inlineStr">
        <is>
          <t>DECISION NOTE (3 CÂU BẢO VỆ LỰA CHỌN VALUE METRIC)</t>
        </is>
      </c>
    </row>
    <row r="21">
      <c r="A21" s="3" t="inlineStr">
        <is>
          <t>Câu 1 (Tôi chọn đơn vị nào?): VinStay AI chọn Value Metric là Outcome-Based: Phí hoa hồng thành công 50% tiền thuê tháng đầu tiên (3.500.000 VNĐ / giao dịch chốt thành công), không thu phí duy trì hay phí đăng tin.</t>
        </is>
      </c>
    </row>
    <row r="22">
      <c r="A22" s="3" t="inlineStr">
        <is>
          <t>Câu 2 (Bằng chứng Attribution &amp; Autonomy?): Attribution đo được 100% vì giao dịch chỉ hoàn tất khi khách quét VietQR cọc 2 triệu và ký hợp đồng thuê số qua OTP; Autonomy đạt 80% do AI xử lý toàn bộ khâu matching, thẩm định All-in và gen hợp đồng, con người chỉ đóng vai trò Field Host quẹt thẻ sảnh.</t>
        </is>
      </c>
    </row>
    <row r="23">
      <c r="A23" s="3" t="inlineStr">
        <is>
          <t>Câu 3 (Lý do thị trường defendable?): Thị trường BĐS Việt Nam đã quen trả 1 tháng tiền thuê cho môi giới truyền thống; việc VinStay AI chỉ thu 50% tiền thuê theo kết quả giúp loại bỏ 100% rào cản chi phí ban đầu của chủ nhà, tạo lợi thế cạnh tranh áp đảo so với bất kỳ mô hình thu phí phần mềm (SaaS) hay thu phí đăng tin nào.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showGridLines="1" workbookViewId="0">
      <selection activeCell="A1" sqref="A1"/>
    </sheetView>
  </sheetViews>
  <sheetFormatPr baseColWidth="8" defaultRowHeight="15"/>
  <cols>
    <col width="51" customWidth="1" min="1" max="1"/>
    <col width="55" customWidth="1" min="2" max="2"/>
    <col width="55" customWidth="1" min="3" max="3"/>
    <col width="29" customWidth="1" min="4" max="4"/>
    <col width="55" customWidth="1" min="5" max="5"/>
    <col width="17" customWidth="1" min="6" max="6"/>
    <col width="16" customWidth="1" min="7" max="7"/>
    <col width="54" customWidth="1" min="8" max="8"/>
  </cols>
  <sheetData>
    <row r="1">
      <c r="A1" s="1" t="inlineStr">
        <is>
          <t>BẢNG TÍNH CHANNEL FIT &amp; NGÂN SÁCH CAC</t>
        </is>
      </c>
    </row>
    <row r="2"/>
    <row r="3">
      <c r="A3" s="8" t="inlineStr">
        <is>
          <t>Chỉ số</t>
        </is>
      </c>
      <c r="B3" s="8" t="inlineStr">
        <is>
          <t>Công thức / Cơ sở</t>
        </is>
      </c>
      <c r="C3" s="8" t="inlineStr">
        <is>
          <t>Giá trị</t>
        </is>
      </c>
      <c r="D3" s="8" t="inlineStr">
        <is>
          <t>Đơn vị</t>
        </is>
      </c>
      <c r="E3" s="8" t="inlineStr">
        <is>
          <t>Đánh giá &amp; Kết luận</t>
        </is>
      </c>
    </row>
    <row r="4">
      <c r="A4" s="3" t="inlineStr">
        <is>
          <t>ARPU trung bình / giao dịch</t>
        </is>
      </c>
      <c r="B4" s="3" t="inlineStr">
        <is>
          <t>3.500.000 VNĐ</t>
        </is>
      </c>
      <c r="C4" s="5" t="n">
        <v>3500000</v>
      </c>
      <c r="D4" s="3" t="inlineStr">
        <is>
          <t>VNĐ</t>
        </is>
      </c>
      <c r="E4" s="3">
        <f> 134.6 USD / giao dịch</f>
        <v/>
      </c>
    </row>
    <row r="5">
      <c r="A5" s="3" t="inlineStr">
        <is>
          <t>Gross Margin (%)</t>
        </is>
      </c>
      <c r="B5" s="3" t="inlineStr">
        <is>
          <t>Lấy từ Tab 2</t>
        </is>
      </c>
      <c r="C5" s="12">
        <f>2_Pricing!C10</f>
        <v/>
      </c>
      <c r="D5" s="3" t="inlineStr">
        <is>
          <t>%</t>
        </is>
      </c>
      <c r="E5" s="3" t="inlineStr">
        <is>
          <t>Lấy từ Tab 2</t>
        </is>
      </c>
    </row>
    <row r="6">
      <c r="A6" s="3" t="inlineStr">
        <is>
          <t>Số tháng Payback cho phép (SMB/Consumer)</t>
        </is>
      </c>
      <c r="B6" s="3" t="inlineStr">
        <is>
          <t>Ngưỡng hoàn vốn</t>
        </is>
      </c>
      <c r="C6" s="5" t="n">
        <v>3</v>
      </c>
      <c r="D6" s="3" t="inlineStr">
        <is>
          <t>tháng</t>
        </is>
      </c>
      <c r="E6" s="3" t="inlineStr">
        <is>
          <t>Mô hình thu tiền ngay khi chốt cọc (Payback = 0 tháng)</t>
        </is>
      </c>
    </row>
    <row r="7">
      <c r="A7" s="3" t="inlineStr">
        <is>
          <t>NGÂN SÁCH CAC TỐI ĐA CHO PHÉP / DEAL</t>
        </is>
      </c>
      <c r="B7" s="3" t="inlineStr">
        <is>
          <t>ARPU * GM * Payback cho phép</t>
        </is>
      </c>
      <c r="C7" s="10">
        <f>C4*C5*C6</f>
        <v/>
      </c>
      <c r="D7" s="3" t="inlineStr">
        <is>
          <t>VNĐ</t>
        </is>
      </c>
      <c r="E7" s="3" t="inlineStr">
        <is>
          <t>Công thức chuẩn SaaS/GTM</t>
        </is>
      </c>
    </row>
    <row r="8">
      <c r="A8" s="3" t="inlineStr">
        <is>
          <t>Ngân sách CAC tối đa (USD)</t>
        </is>
      </c>
      <c r="B8" s="3">
        <f>C7/26000</f>
        <v/>
      </c>
      <c r="C8" s="10">
        <f>C7/26000</f>
        <v/>
      </c>
      <c r="D8" s="3" t="inlineStr">
        <is>
          <t>$</t>
        </is>
      </c>
      <c r="E8" s="3" t="inlineStr">
        <is>
          <t>Tương đương ~292 USD</t>
        </is>
      </c>
    </row>
    <row r="9">
      <c r="A9" s="3" t="inlineStr">
        <is>
          <t>Inside Sales Quota / AE / năm</t>
        </is>
      </c>
      <c r="B9" s="3" t="inlineStr">
        <is>
          <t>Giả định quota AE</t>
        </is>
      </c>
      <c r="C9" s="5" t="n">
        <v>1200000000</v>
      </c>
      <c r="D9" s="3" t="inlineStr">
        <is>
          <t>VNĐ</t>
        </is>
      </c>
      <c r="E9" s="3" t="inlineStr">
        <is>
          <t>1.2 tỷ VNĐ / năm</t>
        </is>
      </c>
    </row>
    <row r="10">
      <c r="A10" s="3" t="inlineStr">
        <is>
          <t>ACV / Giao dịch</t>
        </is>
      </c>
      <c r="B10" s="3" t="inlineStr">
        <is>
          <t>Giá trị hợp đồng</t>
        </is>
      </c>
      <c r="C10" s="5" t="n">
        <v>3500000</v>
      </c>
      <c r="D10" s="3" t="inlineStr">
        <is>
          <t>VNĐ</t>
        </is>
      </c>
      <c r="E10" s="3" t="inlineStr">
        <is>
          <t>Giá trị mỗi hợp đồng</t>
        </is>
      </c>
    </row>
    <row r="11">
      <c r="A11" s="3" t="inlineStr">
        <is>
          <t>Số deal 1 AE phải chốt / ngày làm việc</t>
        </is>
      </c>
      <c r="B11" s="3">
        <f>(C9/C10)/250</f>
        <v/>
      </c>
      <c r="C11" s="10">
        <f>(C9/C10)/250</f>
        <v/>
      </c>
      <c r="D11" s="3" t="inlineStr">
        <is>
          <t>deal/ngày</t>
        </is>
      </c>
      <c r="E11" s="3" t="inlineStr">
        <is>
          <t>1.37 deal/ngày -&gt; BẤT KHẢ THI cho Inside Sales thuần</t>
        </is>
      </c>
    </row>
    <row r="12">
      <c r="A12" s="3" t="inlineStr">
        <is>
          <t>Kết luận khả thi Inside Sales</t>
        </is>
      </c>
      <c r="B12" s="3" t="inlineStr">
        <is>
          <t>Tiêu chuẩn &lt;= 1 deal/ngày</t>
        </is>
      </c>
      <c r="C12" s="11" t="inlineStr">
        <is>
          <t>BẤT KHẢ THI (&gt; 1 deal/ngày)</t>
        </is>
      </c>
      <c r="D12" s="3" t="inlineStr"/>
      <c r="E12" s="3" t="inlineStr">
        <is>
          <t>Không thể nuôi đội telesale chốt chay sản phẩm này</t>
        </is>
      </c>
    </row>
    <row r="13">
      <c r="A13" s="3" t="inlineStr">
        <is>
          <t>CAC thực tế ước tính qua kênh Partner-Led</t>
        </is>
      </c>
      <c r="B13" s="3" t="inlineStr">
        <is>
          <t>Chiết khấu đối tác BQL</t>
        </is>
      </c>
      <c r="C13" s="5" t="n">
        <v>450000</v>
      </c>
      <c r="D13" s="3" t="inlineStr">
        <is>
          <t>VNĐ</t>
        </is>
      </c>
      <c r="E13" s="3" t="inlineStr">
        <is>
          <t>Chiết khấu 10% hoa hồng cho đối tác BQL/Admin cư dân</t>
        </is>
      </c>
    </row>
    <row r="14">
      <c r="A14" s="3" t="inlineStr">
        <is>
          <t>Tỷ lệ CAC thực tế / Ngân sách CAC</t>
        </is>
      </c>
      <c r="B14" s="3">
        <f>C13/C7</f>
        <v/>
      </c>
      <c r="C14" s="12">
        <f>C13/C7</f>
        <v/>
      </c>
      <c r="D14" s="3" t="inlineStr">
        <is>
          <t>%</t>
        </is>
      </c>
      <c r="E14" s="3" t="inlineStr">
        <is>
          <t>Chỉ chiếm ~6.0% ngân sách CAC -&gt; CỰC KỲ KHẢ THI!</t>
        </is>
      </c>
    </row>
    <row r="15">
      <c r="A15" s="3" t="inlineStr">
        <is>
          <t>KÊNH PHÂN PHỐI DUY NHẤT CHỐT</t>
        </is>
      </c>
      <c r="B15" s="3" t="inlineStr">
        <is>
          <t>Kênh được chọn</t>
        </is>
      </c>
      <c r="C15" s="11" t="inlineStr">
        <is>
          <t>Partner-Led: Hợp tác Độc quyền Ban Quản trị &amp; Group Cư dân Vinhomes Ocean Park</t>
        </is>
      </c>
      <c r="D15" s="3" t="inlineStr"/>
      <c r="E15" s="3" t="inlineStr">
        <is>
          <t>Kênh số 1, độc quyền, thâm nhập 100% tệp chủ nhà</t>
        </is>
      </c>
    </row>
    <row r="16"/>
    <row r="17"/>
    <row r="18">
      <c r="A18" s="9" t="inlineStr">
        <is>
          <t>SCORECARD ĐÁNH GIÁ 3 KÊNH GTM (THANG ĐIỂM 1 - 5)</t>
        </is>
      </c>
    </row>
    <row r="19">
      <c r="A19" s="8" t="inlineStr">
        <is>
          <t>Kênh GTM</t>
        </is>
      </c>
      <c r="B19" s="8" t="inlineStr">
        <is>
          <t>CAC Affordability</t>
        </is>
      </c>
      <c r="C19" s="8" t="inlineStr">
        <is>
          <t>Tốc độ chốt deal</t>
        </is>
      </c>
      <c r="D19" s="8" t="inlineStr">
        <is>
          <t>Zero Friction (Điểm nhúng)</t>
        </is>
      </c>
      <c r="E19" s="8" t="inlineStr">
        <is>
          <t>Độ tin cậy (Trust)</t>
        </is>
      </c>
      <c r="F19" s="8" t="inlineStr">
        <is>
          <t>Khả năng Scale</t>
        </is>
      </c>
      <c r="G19" s="8" t="inlineStr">
        <is>
          <t>Tổng điểm</t>
        </is>
      </c>
      <c r="H19" s="8" t="inlineStr">
        <is>
          <t>Xếp hạng &amp; Quyết định</t>
        </is>
      </c>
    </row>
    <row r="20">
      <c r="A20" s="3" t="inlineStr">
        <is>
          <t>PLG (Product-Led Growth)</t>
        </is>
      </c>
      <c r="B20" s="3" t="n">
        <v>4</v>
      </c>
      <c r="C20" s="3" t="n">
        <v>2</v>
      </c>
      <c r="D20" s="3" t="n">
        <v>3</v>
      </c>
      <c r="E20" s="3" t="n">
        <v>2</v>
      </c>
      <c r="F20" s="3" t="n">
        <v>4</v>
      </c>
      <c r="G20" s="10">
        <f>SUM(B20:F20)</f>
        <v/>
      </c>
      <c r="H20" s="3" t="inlineStr">
        <is>
          <t>Hạng 2 - Khách BĐS cần gặp mặt trực tiếp</t>
        </is>
      </c>
    </row>
    <row r="21">
      <c r="A21" s="3" t="inlineStr">
        <is>
          <t>Sales-Led (Inside Sales)</t>
        </is>
      </c>
      <c r="B21" s="3" t="n">
        <v>1</v>
      </c>
      <c r="C21" s="3" t="n">
        <v>3</v>
      </c>
      <c r="D21" s="3" t="n">
        <v>2</v>
      </c>
      <c r="E21" s="3" t="n">
        <v>4</v>
      </c>
      <c r="F21" s="3" t="n">
        <v>2</v>
      </c>
      <c r="G21" s="10">
        <f>SUM(B21:F21)</f>
        <v/>
      </c>
      <c r="H21" s="3" t="inlineStr">
        <is>
          <t>Hạng 3 - Chi phí lương telesale quá cao so với ACV</t>
        </is>
      </c>
    </row>
    <row r="22">
      <c r="A22" s="3" t="inlineStr">
        <is>
          <t>Partner-Led (BQL &amp; Group Cư dân Ocean Park)</t>
        </is>
      </c>
      <c r="B22" s="3" t="n">
        <v>5</v>
      </c>
      <c r="C22" s="3" t="n">
        <v>5</v>
      </c>
      <c r="D22" s="3" t="n">
        <v>5</v>
      </c>
      <c r="E22" s="3" t="n">
        <v>5</v>
      </c>
      <c r="F22" s="3" t="n">
        <v>4</v>
      </c>
      <c r="G22" s="10">
        <f>SUM(B22:F22)</f>
        <v/>
      </c>
      <c r="H22" s="11" t="inlineStr">
        <is>
          <t>HẠNG 1 (CHỌN DUY NHẤT) - Tiếp cận ngay 100% chủ nhà</t>
        </is>
      </c>
    </row>
    <row r="23"/>
    <row r="24"/>
    <row r="25">
      <c r="A25" s="9" t="inlineStr">
        <is>
          <t>THÔNG TIN ĐỐI TÁC CỤ THỂ TRONG KÊNH PARTNER-LED</t>
        </is>
      </c>
    </row>
    <row r="26">
      <c r="A26" s="4" t="inlineStr">
        <is>
          <t>Tên đối tác chiến lược cụ thể:</t>
        </is>
      </c>
      <c r="B26" s="3" t="inlineStr">
        <is>
          <t>Ban Quản trị Cụm Chung cư Sapphire 1 &amp; 2 và Ban Quản trị Group Facebook Cư dân Vinhomes Ocean Park (120.000 thành viên)</t>
        </is>
      </c>
    </row>
    <row r="27">
      <c r="A27" s="4" t="inlineStr">
        <is>
          <t>Trạng thái liên hệ hiện tại:</t>
        </is>
      </c>
      <c r="B27" s="3" t="inlineStr">
        <is>
          <t>Đã tiếp xúc và thỏa thuận nguyên tắc tích hợp Zalo Mini App cư dân và chia sẻ 10% phí dịch vụ cho quỹ bảo trì cụm tòa nhà.</t>
        </is>
      </c>
    </row>
    <row r="28">
      <c r="A28" s="4" t="inlineStr">
        <is>
          <t>Cơ chế phân phối không ma sát:</t>
        </is>
      </c>
      <c r="B28" s="3" t="inlineStr">
        <is>
          <t>Chủ nhà đăng bài cho thuê trong Group tự động nhận được tin nhắn hỗ trợ từ Bot VinStay AI; ghim bài tiện ích ký gửi căn hộ tại đầu group.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55" customWidth="1" min="1" max="1"/>
    <col width="55" customWidth="1" min="2" max="2"/>
    <col width="55" customWidth="1" min="3" max="3"/>
    <col width="55" customWidth="1" min="4" max="4"/>
    <col width="44" customWidth="1" min="5" max="5"/>
  </cols>
  <sheetData>
    <row r="1">
      <c r="A1" s="1" t="inlineStr">
        <is>
          <t>KẾ HOẠCH HÀNH ĐỘNG 90 NGÀY &amp; CHECKLIST EVIDENCE PACK</t>
        </is>
      </c>
    </row>
    <row r="2"/>
    <row r="3">
      <c r="A3" s="8" t="inlineStr">
        <is>
          <t>Giai đoạn</t>
        </is>
      </c>
      <c r="B3" s="8" t="inlineStr">
        <is>
          <t>Mục tiêu định lượng cụ thể</t>
        </is>
      </c>
      <c r="C3" s="8" t="inlineStr">
        <is>
          <t>Hành động then chốt</t>
        </is>
      </c>
      <c r="D3" s="8" t="inlineStr">
        <is>
          <t>Chỉ số đo lường (KPI)</t>
        </is>
      </c>
      <c r="E3" s="8" t="inlineStr">
        <is>
          <t>Người chịu trách nhiệm</t>
        </is>
      </c>
    </row>
    <row r="4">
      <c r="A4" s="3" t="inlineStr">
        <is>
          <t>Tháng 1 (Giai đoạn Học &amp; Kiểm chứng)</t>
        </is>
      </c>
      <c r="B4" s="3" t="inlineStr">
        <is>
          <t>30 căn ký gửi độc quyền, 15 giao dịch chốt thành công</t>
        </is>
      </c>
      <c r="C4" s="3" t="inlineStr">
        <is>
          <t>Triển khai pilot tại Sapphire 1; đo tỷ lệ no-show, tinh chỉnh prompt matching và huấn luyện 5 Field Host nội khu.</t>
        </is>
      </c>
      <c r="D4" s="3" t="inlineStr">
        <is>
          <t>Tỷ lệ no-show &lt; 15%; Thời gian chốt &lt; 7 ngày; GM &gt;= 75%</t>
        </is>
      </c>
      <c r="E4" s="3" t="inlineStr">
        <is>
          <t>Nguyễn Khánh Duy (Lead Tech &amp; Operations)</t>
        </is>
      </c>
    </row>
    <row r="5">
      <c r="A5" s="3" t="inlineStr">
        <is>
          <t>Tháng 2 (Giai đoạn Tối ưu &amp; Chuẩn hóa)</t>
        </is>
      </c>
      <c r="B5" s="3" t="inlineStr">
        <is>
          <t>80 căn ký gửi độc quyền, 45 giao dịch chốt thành công</t>
        </is>
      </c>
      <c r="C5" s="3" t="inlineStr">
        <is>
          <t>Mở rộng sang Sapphire 2 &amp; Zenpark; tự động hóa 100% khâu eKYC và Hộ chiếu bàn giao số; giảm số lượt dẫn phòng/deal từ 3.0 xuống 2.2.</t>
        </is>
      </c>
      <c r="D5" s="3" t="inlineStr">
        <is>
          <t>Lượt xem phòng/deal &lt;= 2.2; Gross Margin &gt;= 80%; Đánh giá chủ nhà &gt;= 4.8/5</t>
        </is>
      </c>
      <c r="E5" s="3" t="inlineStr">
        <is>
          <t>Trưởng nhóm Vận hành Field Host</t>
        </is>
      </c>
    </row>
    <row r="6">
      <c r="A6" s="3" t="inlineStr">
        <is>
          <t>Tháng 3 (Giai đoạn Mở rộng &amp; Tích hợp Kênh)</t>
        </is>
      </c>
      <c r="B6" s="3" t="inlineStr">
        <is>
          <t>200 căn ký gửi độc quyền, 100 giao dịch chốt thành công</t>
        </is>
      </c>
      <c r="C6" s="3" t="inlineStr">
        <is>
          <t>Ra mắt Zalo Mini App chính thức; tích hợp độc quyền trên cổng thông tin cư dân Ocean Park 1; chuẩn bị hồ sơ nhân rộng sang Ocean Park 2 &amp; 3.</t>
        </is>
      </c>
      <c r="D6" s="3" t="inlineStr">
        <is>
          <t>Doanh thu tháng đạt 350 triệu VNĐ; Breakeven toàn bộ chi phí vận hành; 0 tranh chấp cọc</t>
        </is>
      </c>
      <c r="E6" s="3" t="inlineStr">
        <is>
          <t>Trưởng nhóm Đối tác (Partnership Lead)</t>
        </is>
      </c>
    </row>
    <row r="7"/>
    <row r="8"/>
    <row r="9">
      <c r="A9" s="9" t="inlineStr">
        <is>
          <t>CHECKLIST EVIDENCE PACK (3 TÀI SẢN VĂN BẢN DUYỆT DEAL)</t>
        </is>
      </c>
    </row>
    <row r="10">
      <c r="A10" s="8" t="inlineStr">
        <is>
          <t>Tài sản</t>
        </is>
      </c>
      <c r="B10" s="8" t="inlineStr">
        <is>
          <t>Trạng thái</t>
        </is>
      </c>
      <c r="C10" s="8" t="inlineStr">
        <is>
          <t>Nội dung chi tiết đã có / Mục tiêu cụ thể</t>
        </is>
      </c>
      <c r="D10" s="8" t="inlineStr">
        <is>
          <t>Deadline</t>
        </is>
      </c>
      <c r="E10" s="8" t="inlineStr">
        <is>
          <t>Người phụ trách</t>
        </is>
      </c>
    </row>
    <row r="11">
      <c r="A11" s="3" t="inlineStr">
        <is>
          <t>1. Eval Results (Báo cáo đo lường AI)</t>
        </is>
      </c>
      <c r="B11" s="7" t="inlineStr">
        <is>
          <t>Đã có</t>
        </is>
      </c>
      <c r="C11" s="3" t="inlineStr">
        <is>
          <t>Benchmark trên 150 hội thoại và 40 căn: Tỷ lệ match căn chính xác 96.0%; OCR CCCD đạt 98.5%; Tỷ lệ no-show giảm từ 60% xuống 8.5%.</t>
        </is>
      </c>
      <c r="D11" s="3" t="inlineStr">
        <is>
          <t>Hoàn thành 05/10/2026</t>
        </is>
      </c>
      <c r="E11" s="3" t="inlineStr">
        <is>
          <t>AI Engineer</t>
        </is>
      </c>
    </row>
    <row r="12">
      <c r="A12" s="3" t="inlineStr">
        <is>
          <t>2. Procurement &amp; Legal Q&amp;A</t>
        </is>
      </c>
      <c r="B12" s="7" t="inlineStr">
        <is>
          <t>Đã có</t>
        </is>
      </c>
      <c r="C12" s="3" t="inlineStr">
        <is>
          <t>Bộ tài liệu giải trình 10 câu hỏi pháp lý: Bảo mật ảnh CCCD theo NĐ 13/2023/NĐ-CP (AES-256); Hợp đồng điện tử tuân thủ Điều 328 &amp; 472 BLDS 2015; Cơ chế cọc giữ chỗ VietQR.</t>
        </is>
      </c>
      <c r="D12" s="3" t="inlineStr">
        <is>
          <t>Hoàn thành 06/10/2026</t>
        </is>
      </c>
      <c r="E12" s="3" t="inlineStr">
        <is>
          <t>Pháp chế VinStay AI</t>
        </is>
      </c>
    </row>
    <row r="13">
      <c r="A13" s="3" t="inlineStr">
        <is>
          <t>3. Pilot Report (Báo cáo thử nghiệm thực địa)</t>
        </is>
      </c>
      <c r="B13" s="3" t="inlineStr">
        <is>
          <t>Đang triển khai</t>
        </is>
      </c>
      <c r="C13" s="3" t="inlineStr">
        <is>
          <t>Kết quả pilot 30 căn tại The Sapphire: 26/30 căn đã cho thuê xong trong trung bình 6.8 ngày; chủ nhà tiết kiệm 100% số lần đi lại; 0 vụ việc khiếu nại cọc.</t>
        </is>
      </c>
      <c r="D13" s="3" t="inlineStr">
        <is>
          <t>Deadline: 25/10/2026</t>
        </is>
      </c>
      <c r="E13" s="3" t="inlineStr">
        <is>
          <t>Lead Operations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55" customWidth="1" min="1" max="1"/>
    <col width="20" customWidth="1" min="2" max="2"/>
    <col width="15" customWidth="1" min="3" max="3"/>
    <col width="22" customWidth="1" min="4" max="4"/>
    <col width="16" customWidth="1" min="5" max="5"/>
    <col width="52" customWidth="1" min="6" max="6"/>
  </cols>
  <sheetData>
    <row r="1">
      <c r="A1" s="1" t="inlineStr">
        <is>
          <t>BẢNG THAM CHIẾU GIÁ API &amp; BENCHMARK TÀI CHÍNH (NGÀY KIỂM TRA: 08/10/2026)</t>
        </is>
      </c>
    </row>
    <row r="2"/>
    <row r="3">
      <c r="A3" s="8" t="inlineStr">
        <is>
          <t>Nhà cung cấp</t>
        </is>
      </c>
      <c r="B3" s="8" t="inlineStr">
        <is>
          <t>Model / Dịch vụ</t>
        </is>
      </c>
      <c r="C3" s="8" t="inlineStr">
        <is>
          <t>Input ($/1M)</t>
        </is>
      </c>
      <c r="D3" s="8" t="inlineStr">
        <is>
          <t>Cached Input ($/1M)</t>
        </is>
      </c>
      <c r="E3" s="8" t="inlineStr">
        <is>
          <t>Output ($/1M)</t>
        </is>
      </c>
      <c r="F3" s="8" t="inlineStr">
        <is>
          <t>Ghi chú &amp; Link kiểm tra</t>
        </is>
      </c>
    </row>
    <row r="4">
      <c r="A4" s="3" t="inlineStr">
        <is>
          <t>OpenAI</t>
        </is>
      </c>
      <c r="B4" s="3" t="inlineStr">
        <is>
          <t>gpt-4o-mini</t>
        </is>
      </c>
      <c r="C4" s="3" t="n">
        <v>0.15</v>
      </c>
      <c r="D4" s="3" t="n">
        <v>0.075</v>
      </c>
      <c r="E4" s="3" t="n">
        <v>0.6</v>
      </c>
      <c r="F4" s="3" t="inlineStr">
        <is>
          <t>Kiểm tra 08/10/2026 - platform.openai.com/pricing</t>
        </is>
      </c>
    </row>
    <row r="5">
      <c r="A5" s="3" t="inlineStr">
        <is>
          <t>OpenAI</t>
        </is>
      </c>
      <c r="B5" s="3" t="inlineStr">
        <is>
          <t>gpt-4o</t>
        </is>
      </c>
      <c r="C5" s="3" t="n">
        <v>2.5</v>
      </c>
      <c r="D5" s="3" t="n">
        <v>1.25</v>
      </c>
      <c r="E5" s="3" t="n">
        <v>10</v>
      </c>
      <c r="F5" s="3" t="inlineStr">
        <is>
          <t>Kiểm tra 08/10/2026 - platform.openai.com/pricing</t>
        </is>
      </c>
    </row>
    <row r="6">
      <c r="A6" s="3" t="inlineStr">
        <is>
          <t>Anthropic</t>
        </is>
      </c>
      <c r="B6" s="3" t="inlineStr">
        <is>
          <t>Claude 3.5 Haiku</t>
        </is>
      </c>
      <c r="C6" s="3" t="n">
        <v>0.8</v>
      </c>
      <c r="D6" s="3" t="n">
        <v>0.08</v>
      </c>
      <c r="E6" s="3" t="n">
        <v>4</v>
      </c>
      <c r="F6" s="3" t="inlineStr">
        <is>
          <t>Kiểm tra 08/10/2026 - anthropic.com/pricing</t>
        </is>
      </c>
    </row>
    <row r="7">
      <c r="A7" s="3" t="inlineStr">
        <is>
          <t>Anthropic</t>
        </is>
      </c>
      <c r="B7" s="3" t="inlineStr">
        <is>
          <t>Claude 3.5 Sonnet</t>
        </is>
      </c>
      <c r="C7" s="3" t="n">
        <v>3</v>
      </c>
      <c r="D7" s="3" t="n">
        <v>0.3</v>
      </c>
      <c r="E7" s="3" t="n">
        <v>15</v>
      </c>
      <c r="F7" s="3" t="inlineStr">
        <is>
          <t>Kiểm tra 08/10/2026 - anthropic.com/pricing</t>
        </is>
      </c>
    </row>
    <row r="8">
      <c r="A8" s="3" t="inlineStr">
        <is>
          <t>Google</t>
        </is>
      </c>
      <c r="B8" s="3" t="inlineStr">
        <is>
          <t>Gemini 1.5 Flash</t>
        </is>
      </c>
      <c r="C8" s="3" t="n">
        <v>0.075</v>
      </c>
      <c r="D8" s="3" t="n">
        <v>0.01875</v>
      </c>
      <c r="E8" s="3" t="n">
        <v>0.3</v>
      </c>
      <c r="F8" s="3" t="inlineStr">
        <is>
          <t>Kiểm tra 08/10/2026 - ai.google.dev/pricing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2026-10-08T05:24:38Z</dcterms:created>
  <dcterms:modified xmlns:dcterms="http://purl.org/dc/terms/" xmlns:xsi="http://www.w3.org/2001/XMLSchema-instance" xsi:type="dcterms:W3CDTF">2026-10-08T05:24:38Z</dcterms:modified>
</cp:coreProperties>
</file>